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kce" sheetId="1" r:id="rId4"/>
    <sheet state="visible" name="4 týmy" sheetId="2" r:id="rId5"/>
    <sheet state="visible" name="6 týmů" sheetId="3" r:id="rId6"/>
    <sheet state="visible" name="8 týmů" sheetId="4" r:id="rId7"/>
  </sheets>
  <definedNames/>
  <calcPr/>
</workbook>
</file>

<file path=xl/sharedStrings.xml><?xml version="1.0" encoding="utf-8"?>
<sst xmlns="http://schemas.openxmlformats.org/spreadsheetml/2006/main" count="272" uniqueCount="142">
  <si>
    <t>Instrukce</t>
  </si>
  <si>
    <r>
      <rPr>
        <rFont val="Arial"/>
        <color theme="1"/>
      </rPr>
      <t xml:space="preserve">Tato tabulka by vám měla pomoci s kompletní organizací školního kola Debatiády. Stačí vyplnit všechny potřebné údaje (názvy týmů, jména debatérů a rozhodčích, označení místností a teze), vybrat si list s odpovídajícím počtem týmů, a tabulka se už o zbytek postará. V každé tabulce vyplňujte pouze bíle podbarvené buňky, šedé jsou uzamčené.
1. Pro organizaci turnaje budete potřebovat týmy, rozhodčí (alespoň jednoho na každé dva týmy), místnosti (alespoň jednu na každé dva týmy) a teze (můžete mít na každé kolo jinou, nebo klidně víckrát zopakovat tu stejnou).
2. Nejprve vyplňte všechny relevantní údaje v tomto listu. Týmy si mohou vymyslet libovolné názvy, nebo mohou zůstat označené čísly. Místnosti pojmenujte podle označení ve vaší škole.
3. Vyberte si list, který odpovídá počtu týmů, které se u vás budou účastnit. V něm najdete rozpis debat pro jednotlivá kola.
4. Po každém kole vyplňte počty bodů, které každý z týmů získal. Tabulka sama pozná vítězný tým a aktualizuje tabulku pořadí týmů.
5. Po posledním základním kole stiskněte tlačítko </t>
    </r>
    <r>
      <rPr>
        <rFont val="Arial"/>
        <i/>
        <color theme="1"/>
      </rPr>
      <t>Seřadit</t>
    </r>
    <r>
      <rPr>
        <rFont val="Arial"/>
        <color theme="1"/>
      </rPr>
      <t>, ktré seřadí tabulku pořadí týmů a zobrazí správné týmy do tabulky pro vyřazovací kola.</t>
    </r>
  </si>
  <si>
    <t>Název školy</t>
  </si>
  <si>
    <t>Týmy</t>
  </si>
  <si>
    <t>Rozhodčí</t>
  </si>
  <si>
    <t>Místnosti</t>
  </si>
  <si>
    <t>Teze</t>
  </si>
  <si>
    <t>Název</t>
  </si>
  <si>
    <t>Člen 1</t>
  </si>
  <si>
    <t>Člen 2</t>
  </si>
  <si>
    <t>Jméno</t>
  </si>
  <si>
    <t>Číslo / název</t>
  </si>
  <si>
    <t>Kolo</t>
  </si>
  <si>
    <t>Znění teze</t>
  </si>
  <si>
    <t>Tým 1</t>
  </si>
  <si>
    <t>Rozhodčí 1</t>
  </si>
  <si>
    <t>Místnost 1</t>
  </si>
  <si>
    <t>Teze pro první kolo</t>
  </si>
  <si>
    <t>Tým 2</t>
  </si>
  <si>
    <t>Rozhodčí 2</t>
  </si>
  <si>
    <t>Místnost 2</t>
  </si>
  <si>
    <t>Teze pro druhé kolo</t>
  </si>
  <si>
    <t>Tým 3</t>
  </si>
  <si>
    <t>Rozhodčí 3</t>
  </si>
  <si>
    <t>Místnost 3</t>
  </si>
  <si>
    <t>Teze pro třetí kolo</t>
  </si>
  <si>
    <t>Tým 4</t>
  </si>
  <si>
    <t>Rozhodčí 4</t>
  </si>
  <si>
    <t>Místnost 4</t>
  </si>
  <si>
    <t>Teze pro čtvrté kolo (pokud je relevantní)</t>
  </si>
  <si>
    <t>Tým 5</t>
  </si>
  <si>
    <t>Rozhodčí 5</t>
  </si>
  <si>
    <t>Místnost 5</t>
  </si>
  <si>
    <t>Čtvrtfinále</t>
  </si>
  <si>
    <t>Teze pro čtvrtfinále (pokud je relevantní)</t>
  </si>
  <si>
    <t>Tým 6</t>
  </si>
  <si>
    <t>Rozhodčí 6</t>
  </si>
  <si>
    <t>Místnost 6</t>
  </si>
  <si>
    <t>Semifinále</t>
  </si>
  <si>
    <t>Teze pro semifinále (pokud je relevantní)</t>
  </si>
  <si>
    <t>Tým 7</t>
  </si>
  <si>
    <t>Rozhodčí 7</t>
  </si>
  <si>
    <t>Místnost 7</t>
  </si>
  <si>
    <t>Finále</t>
  </si>
  <si>
    <t>Teze pro finále</t>
  </si>
  <si>
    <t>Tým 8</t>
  </si>
  <si>
    <t>Rozhodčí 8</t>
  </si>
  <si>
    <t>Místnost 8</t>
  </si>
  <si>
    <t>Tým 9</t>
  </si>
  <si>
    <t>Rozhodčí 9</t>
  </si>
  <si>
    <t>Místnost 9</t>
  </si>
  <si>
    <t>Tým 10</t>
  </si>
  <si>
    <t>Rozhodčí 10</t>
  </si>
  <si>
    <t>Místnost 10</t>
  </si>
  <si>
    <t>Tým 11</t>
  </si>
  <si>
    <t>Rozhodčí 11</t>
  </si>
  <si>
    <t>Místnost 11</t>
  </si>
  <si>
    <t>Tým 12</t>
  </si>
  <si>
    <t>Rozhodčí 12</t>
  </si>
  <si>
    <t>Místnost 12</t>
  </si>
  <si>
    <t>Tým 13</t>
  </si>
  <si>
    <t>Rozhodčí 13</t>
  </si>
  <si>
    <t>Místnost 13</t>
  </si>
  <si>
    <t>Tým 14</t>
  </si>
  <si>
    <t>Rozhodčí 14</t>
  </si>
  <si>
    <t>Místnost 14</t>
  </si>
  <si>
    <t>Tým 15</t>
  </si>
  <si>
    <t>Rozhodčí 15</t>
  </si>
  <si>
    <t>Místnost 15</t>
  </si>
  <si>
    <t>Tým 16</t>
  </si>
  <si>
    <t>Rozhodčí 16</t>
  </si>
  <si>
    <t>Místnost 16</t>
  </si>
  <si>
    <t>Tým 17</t>
  </si>
  <si>
    <t>Rozhodčí 17</t>
  </si>
  <si>
    <t>Místnost 17</t>
  </si>
  <si>
    <t>Tým 18</t>
  </si>
  <si>
    <t>Rozhodčí 18</t>
  </si>
  <si>
    <t>Místnost 18</t>
  </si>
  <si>
    <t>Tým 19</t>
  </si>
  <si>
    <t>Rozhodčí 19</t>
  </si>
  <si>
    <t>Místnost 19</t>
  </si>
  <si>
    <t>Tým 20</t>
  </si>
  <si>
    <t>Rozhodčí 20</t>
  </si>
  <si>
    <t>Místnost 20</t>
  </si>
  <si>
    <t>Tým 21</t>
  </si>
  <si>
    <t>Rozhodčí 21</t>
  </si>
  <si>
    <t>Tým 22</t>
  </si>
  <si>
    <t>Rozhodčí 22</t>
  </si>
  <si>
    <t>Tým 23</t>
  </si>
  <si>
    <t>Rozhodčí 23</t>
  </si>
  <si>
    <t>Tým 24</t>
  </si>
  <si>
    <t>Rozhodčí 24</t>
  </si>
  <si>
    <t>Tým 25</t>
  </si>
  <si>
    <t>Rozhodčí 25</t>
  </si>
  <si>
    <t>Tým 26</t>
  </si>
  <si>
    <t>Rozhodčí 26</t>
  </si>
  <si>
    <t>Tým 27</t>
  </si>
  <si>
    <t>Rozhodčí 27</t>
  </si>
  <si>
    <t>Tým 28</t>
  </si>
  <si>
    <t>Rozhodčí 28</t>
  </si>
  <si>
    <t>Tým 29</t>
  </si>
  <si>
    <t>Rozhodčí 29</t>
  </si>
  <si>
    <t>Tým 30</t>
  </si>
  <si>
    <t>Rozhodčí 30</t>
  </si>
  <si>
    <t>Tým 31</t>
  </si>
  <si>
    <t>Rozhodčí 31</t>
  </si>
  <si>
    <t>Tým 32</t>
  </si>
  <si>
    <t>Rozhodčí 32</t>
  </si>
  <si>
    <t>Tým 33</t>
  </si>
  <si>
    <t>Rozhodčí 33</t>
  </si>
  <si>
    <t>Tým 34</t>
  </si>
  <si>
    <t>Rozhodčí 34</t>
  </si>
  <si>
    <t>Tým 35</t>
  </si>
  <si>
    <t>Rozhodčí 35</t>
  </si>
  <si>
    <t>Tým 36</t>
  </si>
  <si>
    <t>Rozhodčí 36</t>
  </si>
  <si>
    <t>Tým 37</t>
  </si>
  <si>
    <t>Rozhodčí 37</t>
  </si>
  <si>
    <t>Tým 38</t>
  </si>
  <si>
    <t>Rozhodčí 38</t>
  </si>
  <si>
    <t>Tým 39</t>
  </si>
  <si>
    <t>Rozhodčí 39</t>
  </si>
  <si>
    <t>Tým 40</t>
  </si>
  <si>
    <t>Rozhodčí 40</t>
  </si>
  <si>
    <t>1. kolo</t>
  </si>
  <si>
    <t>Pořadí po základních kolech</t>
  </si>
  <si>
    <t>Debata</t>
  </si>
  <si>
    <t>Místnost</t>
  </si>
  <si>
    <t>Afirmace</t>
  </si>
  <si>
    <t>Negace</t>
  </si>
  <si>
    <t>Body Afirmace</t>
  </si>
  <si>
    <t>Body Negace</t>
  </si>
  <si>
    <t>Vítěz</t>
  </si>
  <si>
    <r>
      <rPr>
        <rFont val="Arial"/>
        <color theme="1"/>
      </rPr>
      <t xml:space="preserve">Po posledním základním kole stiskněte tlačítko </t>
    </r>
    <r>
      <rPr>
        <rFont val="Arial"/>
        <i/>
        <color theme="1"/>
      </rPr>
      <t>Seřadit</t>
    </r>
    <r>
      <rPr>
        <rFont val="Arial"/>
        <color theme="1"/>
      </rPr>
      <t>, ktreé seřadí tabulku pořadí týmů a zobrazí správné týmy do tabulky pro vyřazovací kola.</t>
    </r>
  </si>
  <si>
    <t>Pořadí</t>
  </si>
  <si>
    <t>Tým</t>
  </si>
  <si>
    <t>Počet vítězství</t>
  </si>
  <si>
    <t>Součet bodů</t>
  </si>
  <si>
    <t>2. kolo</t>
  </si>
  <si>
    <t>3. kolo</t>
  </si>
  <si>
    <r>
      <rPr>
        <rFont val="Arial"/>
        <color theme="1"/>
      </rPr>
      <t xml:space="preserve">Po posledním základním kole stiskněte tlačítko </t>
    </r>
    <r>
      <rPr>
        <rFont val="Arial"/>
        <i/>
        <color theme="1"/>
      </rPr>
      <t>Seřadit</t>
    </r>
    <r>
      <rPr>
        <rFont val="Arial"/>
        <color theme="1"/>
      </rPr>
      <t>, ktreé seřadí tabulku pořadí týmů a zobrazí správné týmy do tabulky pro vyřazovací kola.</t>
    </r>
  </si>
  <si>
    <r>
      <rPr>
        <rFont val="Arial"/>
        <color theme="1"/>
      </rPr>
      <t xml:space="preserve">Po posledním základním kole stiskněte tlačítko </t>
    </r>
    <r>
      <rPr>
        <rFont val="Arial"/>
        <i/>
        <color theme="1"/>
      </rPr>
      <t>Seřadit</t>
    </r>
    <r>
      <rPr>
        <rFont val="Arial"/>
        <color theme="1"/>
      </rPr>
      <t>, ktreé seřadí tabulku pořadí týmů a zobrazí správné týmy do tabulky pro vyřazovací kola.</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</si>
</sst>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4.0"/>
      <color theme="1"/>
      <name val="Arial"/>
      <scheme val="minor"/>
    </font>
    <font>
      <color theme="1"/>
      <name val="Arial"/>
      <scheme val="minor"/>
    </font>
    <font>
      <b/>
      <color theme="1"/>
      <name val="Arial"/>
      <scheme val="minor"/>
    </font>
    <font/>
    <font>
      <b/>
      <sz val="14.0"/>
      <color theme="1"/>
      <name val="Arial"/>
      <scheme val="minor"/>
    </font>
  </fonts>
  <fills count="4">
    <fill>
      <patternFill patternType="none"/>
    </fill>
    <fill>
      <patternFill patternType="lightGray"/>
    </fill>
    <fill>
      <patternFill patternType="solid">
        <fgColor rgb="FFD9D9D9"/>
        <bgColor rgb="FFD9D9D9"/>
      </patternFill>
    </fill>
    <fill>
      <patternFill patternType="solid">
        <fgColor rgb="FFFFFFFF"/>
        <bgColor rgb="FFFFFFFF"/>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xf>
    <xf borderId="1" fillId="2" fontId="3" numFmtId="0" xfId="0" applyAlignment="1" applyBorder="1" applyFill="1" applyFont="1">
      <alignment readingOrder="0"/>
    </xf>
    <xf borderId="2" fillId="0" fontId="4" numFmtId="0" xfId="0" applyBorder="1" applyFont="1"/>
    <xf borderId="1" fillId="0" fontId="2" numFmtId="0" xfId="0" applyBorder="1" applyFont="1"/>
    <xf borderId="3" fillId="0" fontId="4" numFmtId="0" xfId="0" applyBorder="1" applyFont="1"/>
    <xf borderId="1" fillId="2" fontId="1" numFmtId="0" xfId="0" applyAlignment="1" applyBorder="1" applyFont="1">
      <alignment horizontal="center" readingOrder="0"/>
    </xf>
    <xf borderId="0" fillId="0" fontId="2" numFmtId="0" xfId="0" applyAlignment="1" applyFont="1">
      <alignment horizontal="center"/>
    </xf>
    <xf borderId="4" fillId="2" fontId="2" numFmtId="0" xfId="0" applyBorder="1" applyFont="1"/>
    <xf borderId="4" fillId="2" fontId="3" numFmtId="0" xfId="0" applyAlignment="1" applyBorder="1" applyFont="1">
      <alignment readingOrder="0"/>
    </xf>
    <xf borderId="4" fillId="2" fontId="2" numFmtId="0" xfId="0" applyAlignment="1" applyBorder="1" applyFont="1">
      <alignment horizontal="center" readingOrder="0"/>
    </xf>
    <xf borderId="4" fillId="3" fontId="2" numFmtId="0" xfId="0" applyAlignment="1" applyBorder="1" applyFill="1" applyFont="1">
      <alignment readingOrder="0"/>
    </xf>
    <xf borderId="4" fillId="3" fontId="2" numFmtId="0" xfId="0" applyBorder="1" applyFont="1"/>
    <xf borderId="4" fillId="2" fontId="5" numFmtId="0" xfId="0" applyAlignment="1" applyBorder="1" applyFont="1">
      <alignment horizontal="center" readingOrder="0"/>
    </xf>
    <xf borderId="1" fillId="2" fontId="2" numFmtId="0" xfId="0" applyBorder="1" applyFont="1"/>
    <xf borderId="4" fillId="2" fontId="3" numFmtId="0" xfId="0" applyAlignment="1" applyBorder="1" applyFont="1">
      <alignment horizontal="center" readingOrder="0"/>
    </xf>
    <xf borderId="0" fillId="0" fontId="2" numFmtId="0" xfId="0" applyAlignment="1" applyFont="1">
      <alignment horizontal="center" readingOrder="0" shrinkToFit="0" vertical="top" wrapText="1"/>
    </xf>
    <xf borderId="4" fillId="2" fontId="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95250</xdr:colOff>
      <xdr:row>10</xdr:row>
      <xdr:rowOff>95250</xdr:rowOff>
    </xdr:from>
    <xdr:ext cx="1695450" cy="657225"/>
    <xdr:grpSp>
      <xdr:nvGrpSpPr>
        <xdr:cNvPr id="2" name="Shape 2" title="Nákres"/>
        <xdr:cNvGrpSpPr/>
      </xdr:nvGrpSpPr>
      <xdr:grpSpPr>
        <a:xfrm>
          <a:off x="2099025" y="1451350"/>
          <a:ext cx="1675500" cy="642900"/>
          <a:chOff x="2099025" y="1451350"/>
          <a:chExt cx="1675500" cy="642900"/>
        </a:xfrm>
      </xdr:grpSpPr>
      <xdr:sp>
        <xdr:nvSpPr>
          <xdr:cNvPr id="3" name="Shape 3"/>
          <xdr:cNvSpPr/>
        </xdr:nvSpPr>
        <xdr:spPr>
          <a:xfrm>
            <a:off x="2103975" y="1451350"/>
            <a:ext cx="1665600" cy="642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txBox="1"/>
        </xdr:nvSpPr>
        <xdr:spPr>
          <a:xfrm>
            <a:off x="2099025" y="1572700"/>
            <a:ext cx="1675500" cy="4002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Seřadit</a:t>
            </a:r>
            <a:endParaRPr sz="1400"/>
          </a:p>
        </xdr:txBody>
      </xdr: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95250</xdr:colOff>
      <xdr:row>12</xdr:row>
      <xdr:rowOff>95250</xdr:rowOff>
    </xdr:from>
    <xdr:ext cx="1695450" cy="657225"/>
    <xdr:grpSp>
      <xdr:nvGrpSpPr>
        <xdr:cNvPr id="2" name="Shape 2" title="Nákres"/>
        <xdr:cNvGrpSpPr/>
      </xdr:nvGrpSpPr>
      <xdr:grpSpPr>
        <a:xfrm>
          <a:off x="2099025" y="1451350"/>
          <a:ext cx="1675500" cy="642900"/>
          <a:chOff x="2099025" y="1451350"/>
          <a:chExt cx="1675500" cy="642900"/>
        </a:xfrm>
      </xdr:grpSpPr>
      <xdr:sp>
        <xdr:nvSpPr>
          <xdr:cNvPr id="3" name="Shape 3"/>
          <xdr:cNvSpPr/>
        </xdr:nvSpPr>
        <xdr:spPr>
          <a:xfrm>
            <a:off x="2103975" y="1451350"/>
            <a:ext cx="1665600" cy="642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txBox="1"/>
        </xdr:nvSpPr>
        <xdr:spPr>
          <a:xfrm>
            <a:off x="2099025" y="1572700"/>
            <a:ext cx="1675500" cy="4002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Seřadit</a:t>
            </a:r>
            <a:endParaRPr sz="1400"/>
          </a:p>
        </xdr:txBody>
      </xdr: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95250</xdr:colOff>
      <xdr:row>14</xdr:row>
      <xdr:rowOff>95250</xdr:rowOff>
    </xdr:from>
    <xdr:ext cx="1695450" cy="657225"/>
    <xdr:grpSp>
      <xdr:nvGrpSpPr>
        <xdr:cNvPr id="2" name="Shape 2" title="Nákres"/>
        <xdr:cNvGrpSpPr/>
      </xdr:nvGrpSpPr>
      <xdr:grpSpPr>
        <a:xfrm>
          <a:off x="2099025" y="1451350"/>
          <a:ext cx="1675500" cy="642900"/>
          <a:chOff x="2099025" y="1451350"/>
          <a:chExt cx="1675500" cy="642900"/>
        </a:xfrm>
      </xdr:grpSpPr>
      <xdr:sp>
        <xdr:nvSpPr>
          <xdr:cNvPr id="3" name="Shape 3"/>
          <xdr:cNvSpPr/>
        </xdr:nvSpPr>
        <xdr:spPr>
          <a:xfrm>
            <a:off x="2103975" y="1451350"/>
            <a:ext cx="1665600" cy="642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txBox="1"/>
        </xdr:nvSpPr>
        <xdr:spPr>
          <a:xfrm>
            <a:off x="2099025" y="1572700"/>
            <a:ext cx="1675500" cy="4002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Seřadit</a:t>
            </a:r>
            <a:endParaRPr sz="1400"/>
          </a:p>
        </xdr:txBody>
      </xdr:sp>
    </xdr:grp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6" max="6" width="5.75"/>
    <col customWidth="1" min="9" max="9" width="6.25"/>
    <col customWidth="1" min="12" max="12" width="8.75"/>
    <col customWidth="1" min="13" max="13" width="31.13"/>
  </cols>
  <sheetData>
    <row r="1">
      <c r="A1" s="1" t="s">
        <v>0</v>
      </c>
    </row>
    <row r="2">
      <c r="A2" s="2" t="s">
        <v>1</v>
      </c>
    </row>
    <row r="3">
      <c r="A3" s="3"/>
    </row>
    <row r="4">
      <c r="A4" s="4" t="s">
        <v>2</v>
      </c>
      <c r="B4" s="5"/>
      <c r="C4" s="6"/>
      <c r="D4" s="7"/>
      <c r="E4" s="7"/>
      <c r="F4" s="7"/>
      <c r="G4" s="7"/>
      <c r="H4" s="7"/>
      <c r="I4" s="7"/>
      <c r="J4" s="7"/>
      <c r="K4" s="7"/>
      <c r="L4" s="7"/>
      <c r="M4" s="5"/>
    </row>
    <row r="6">
      <c r="A6" s="8" t="s">
        <v>3</v>
      </c>
      <c r="B6" s="7"/>
      <c r="C6" s="7"/>
      <c r="D6" s="5"/>
      <c r="F6" s="8" t="s">
        <v>4</v>
      </c>
      <c r="G6" s="5"/>
      <c r="I6" s="8" t="s">
        <v>5</v>
      </c>
      <c r="J6" s="5"/>
      <c r="K6" s="9"/>
      <c r="L6" s="8" t="s">
        <v>6</v>
      </c>
      <c r="M6" s="5"/>
    </row>
    <row r="7">
      <c r="A7" s="10"/>
      <c r="B7" s="11" t="s">
        <v>7</v>
      </c>
      <c r="C7" s="11" t="s">
        <v>8</v>
      </c>
      <c r="D7" s="11" t="s">
        <v>9</v>
      </c>
      <c r="F7" s="10"/>
      <c r="G7" s="11" t="s">
        <v>10</v>
      </c>
      <c r="I7" s="10"/>
      <c r="J7" s="11" t="s">
        <v>11</v>
      </c>
      <c r="L7" s="10" t="s">
        <v>12</v>
      </c>
      <c r="M7" s="11" t="s">
        <v>13</v>
      </c>
    </row>
    <row r="8">
      <c r="A8" s="12">
        <v>1.0</v>
      </c>
      <c r="B8" s="13" t="s">
        <v>14</v>
      </c>
      <c r="C8" s="14"/>
      <c r="D8" s="14"/>
      <c r="F8" s="12">
        <v>1.0</v>
      </c>
      <c r="G8" s="13" t="s">
        <v>15</v>
      </c>
      <c r="I8" s="12">
        <v>1.0</v>
      </c>
      <c r="J8" s="13" t="s">
        <v>16</v>
      </c>
      <c r="L8" s="12">
        <v>1.0</v>
      </c>
      <c r="M8" s="13" t="s">
        <v>17</v>
      </c>
    </row>
    <row r="9">
      <c r="A9" s="12">
        <v>2.0</v>
      </c>
      <c r="B9" s="13" t="s">
        <v>18</v>
      </c>
      <c r="C9" s="14"/>
      <c r="D9" s="14"/>
      <c r="F9" s="12">
        <v>2.0</v>
      </c>
      <c r="G9" s="13" t="s">
        <v>19</v>
      </c>
      <c r="I9" s="12">
        <v>2.0</v>
      </c>
      <c r="J9" s="13" t="s">
        <v>20</v>
      </c>
      <c r="L9" s="12">
        <v>2.0</v>
      </c>
      <c r="M9" s="13" t="s">
        <v>21</v>
      </c>
    </row>
    <row r="10">
      <c r="A10" s="12">
        <v>3.0</v>
      </c>
      <c r="B10" s="13" t="s">
        <v>22</v>
      </c>
      <c r="C10" s="14"/>
      <c r="D10" s="14"/>
      <c r="F10" s="12">
        <v>3.0</v>
      </c>
      <c r="G10" s="13" t="s">
        <v>23</v>
      </c>
      <c r="I10" s="12">
        <v>3.0</v>
      </c>
      <c r="J10" s="13" t="s">
        <v>24</v>
      </c>
      <c r="L10" s="12">
        <v>3.0</v>
      </c>
      <c r="M10" s="13" t="s">
        <v>25</v>
      </c>
    </row>
    <row r="11">
      <c r="A11" s="12">
        <v>4.0</v>
      </c>
      <c r="B11" s="13" t="s">
        <v>26</v>
      </c>
      <c r="C11" s="14"/>
      <c r="D11" s="14"/>
      <c r="F11" s="12">
        <v>4.0</v>
      </c>
      <c r="G11" s="13" t="s">
        <v>27</v>
      </c>
      <c r="I11" s="12">
        <v>4.0</v>
      </c>
      <c r="J11" s="13" t="s">
        <v>28</v>
      </c>
      <c r="L11" s="12">
        <v>4.0</v>
      </c>
      <c r="M11" s="13" t="s">
        <v>29</v>
      </c>
    </row>
    <row r="12">
      <c r="A12" s="12">
        <v>5.0</v>
      </c>
      <c r="B12" s="13" t="s">
        <v>30</v>
      </c>
      <c r="C12" s="14"/>
      <c r="D12" s="14"/>
      <c r="F12" s="12">
        <v>5.0</v>
      </c>
      <c r="G12" s="13" t="s">
        <v>31</v>
      </c>
      <c r="I12" s="12">
        <v>5.0</v>
      </c>
      <c r="J12" s="13" t="s">
        <v>32</v>
      </c>
      <c r="L12" s="12" t="s">
        <v>33</v>
      </c>
      <c r="M12" s="13" t="s">
        <v>34</v>
      </c>
    </row>
    <row r="13">
      <c r="A13" s="12">
        <v>6.0</v>
      </c>
      <c r="B13" s="13" t="s">
        <v>35</v>
      </c>
      <c r="C13" s="14"/>
      <c r="D13" s="14"/>
      <c r="F13" s="12">
        <v>6.0</v>
      </c>
      <c r="G13" s="13" t="s">
        <v>36</v>
      </c>
      <c r="I13" s="12">
        <v>6.0</v>
      </c>
      <c r="J13" s="13" t="s">
        <v>37</v>
      </c>
      <c r="L13" s="12" t="s">
        <v>38</v>
      </c>
      <c r="M13" s="13" t="s">
        <v>39</v>
      </c>
    </row>
    <row r="14">
      <c r="A14" s="12">
        <v>7.0</v>
      </c>
      <c r="B14" s="13" t="s">
        <v>40</v>
      </c>
      <c r="C14" s="14"/>
      <c r="D14" s="14"/>
      <c r="F14" s="12">
        <v>7.0</v>
      </c>
      <c r="G14" s="13" t="s">
        <v>41</v>
      </c>
      <c r="I14" s="12">
        <v>7.0</v>
      </c>
      <c r="J14" s="13" t="s">
        <v>42</v>
      </c>
      <c r="L14" s="12" t="s">
        <v>43</v>
      </c>
      <c r="M14" s="13" t="s">
        <v>44</v>
      </c>
    </row>
    <row r="15">
      <c r="A15" s="12">
        <v>8.0</v>
      </c>
      <c r="B15" s="13" t="s">
        <v>45</v>
      </c>
      <c r="C15" s="14"/>
      <c r="D15" s="14"/>
      <c r="F15" s="12">
        <v>8.0</v>
      </c>
      <c r="G15" s="13" t="s">
        <v>46</v>
      </c>
      <c r="I15" s="12">
        <v>8.0</v>
      </c>
      <c r="J15" s="13" t="s">
        <v>47</v>
      </c>
    </row>
    <row r="16">
      <c r="A16" s="12">
        <v>9.0</v>
      </c>
      <c r="B16" s="13" t="s">
        <v>48</v>
      </c>
      <c r="C16" s="14"/>
      <c r="D16" s="14"/>
      <c r="F16" s="12">
        <v>9.0</v>
      </c>
      <c r="G16" s="13" t="s">
        <v>49</v>
      </c>
      <c r="I16" s="12">
        <v>9.0</v>
      </c>
      <c r="J16" s="13" t="s">
        <v>50</v>
      </c>
    </row>
    <row r="17">
      <c r="A17" s="12">
        <v>10.0</v>
      </c>
      <c r="B17" s="13" t="s">
        <v>51</v>
      </c>
      <c r="C17" s="14"/>
      <c r="D17" s="14"/>
      <c r="F17" s="12">
        <v>10.0</v>
      </c>
      <c r="G17" s="13" t="s">
        <v>52</v>
      </c>
      <c r="I17" s="12">
        <v>10.0</v>
      </c>
      <c r="J17" s="13" t="s">
        <v>53</v>
      </c>
    </row>
    <row r="18">
      <c r="A18" s="12">
        <v>11.0</v>
      </c>
      <c r="B18" s="13" t="s">
        <v>54</v>
      </c>
      <c r="C18" s="14"/>
      <c r="D18" s="14"/>
      <c r="F18" s="12">
        <v>11.0</v>
      </c>
      <c r="G18" s="13" t="s">
        <v>55</v>
      </c>
      <c r="I18" s="12">
        <v>11.0</v>
      </c>
      <c r="J18" s="13" t="s">
        <v>56</v>
      </c>
    </row>
    <row r="19">
      <c r="A19" s="12">
        <v>12.0</v>
      </c>
      <c r="B19" s="13" t="s">
        <v>57</v>
      </c>
      <c r="C19" s="14"/>
      <c r="D19" s="14"/>
      <c r="F19" s="12">
        <v>12.0</v>
      </c>
      <c r="G19" s="13" t="s">
        <v>58</v>
      </c>
      <c r="I19" s="12">
        <v>12.0</v>
      </c>
      <c r="J19" s="13" t="s">
        <v>59</v>
      </c>
    </row>
    <row r="20">
      <c r="A20" s="12">
        <v>13.0</v>
      </c>
      <c r="B20" s="13" t="s">
        <v>60</v>
      </c>
      <c r="C20" s="14"/>
      <c r="D20" s="14"/>
      <c r="F20" s="12">
        <v>13.0</v>
      </c>
      <c r="G20" s="13" t="s">
        <v>61</v>
      </c>
      <c r="I20" s="12">
        <v>13.0</v>
      </c>
      <c r="J20" s="13" t="s">
        <v>62</v>
      </c>
    </row>
    <row r="21">
      <c r="A21" s="12">
        <v>14.0</v>
      </c>
      <c r="B21" s="13" t="s">
        <v>63</v>
      </c>
      <c r="C21" s="14"/>
      <c r="D21" s="14"/>
      <c r="F21" s="12">
        <v>14.0</v>
      </c>
      <c r="G21" s="13" t="s">
        <v>64</v>
      </c>
      <c r="I21" s="12">
        <v>14.0</v>
      </c>
      <c r="J21" s="13" t="s">
        <v>65</v>
      </c>
    </row>
    <row r="22">
      <c r="A22" s="12">
        <v>15.0</v>
      </c>
      <c r="B22" s="13" t="s">
        <v>66</v>
      </c>
      <c r="C22" s="14"/>
      <c r="D22" s="14"/>
      <c r="F22" s="12">
        <v>15.0</v>
      </c>
      <c r="G22" s="13" t="s">
        <v>67</v>
      </c>
      <c r="I22" s="12">
        <v>15.0</v>
      </c>
      <c r="J22" s="13" t="s">
        <v>68</v>
      </c>
    </row>
    <row r="23">
      <c r="A23" s="12">
        <v>16.0</v>
      </c>
      <c r="B23" s="13" t="s">
        <v>69</v>
      </c>
      <c r="C23" s="14"/>
      <c r="D23" s="14"/>
      <c r="F23" s="12">
        <v>16.0</v>
      </c>
      <c r="G23" s="13" t="s">
        <v>70</v>
      </c>
      <c r="I23" s="12">
        <v>16.0</v>
      </c>
      <c r="J23" s="13" t="s">
        <v>71</v>
      </c>
    </row>
    <row r="24">
      <c r="A24" s="12">
        <v>17.0</v>
      </c>
      <c r="B24" s="13" t="s">
        <v>72</v>
      </c>
      <c r="C24" s="14"/>
      <c r="D24" s="14"/>
      <c r="F24" s="12">
        <v>17.0</v>
      </c>
      <c r="G24" s="13" t="s">
        <v>73</v>
      </c>
      <c r="I24" s="12">
        <v>17.0</v>
      </c>
      <c r="J24" s="13" t="s">
        <v>74</v>
      </c>
    </row>
    <row r="25">
      <c r="A25" s="12">
        <v>18.0</v>
      </c>
      <c r="B25" s="13" t="s">
        <v>75</v>
      </c>
      <c r="C25" s="14"/>
      <c r="D25" s="14"/>
      <c r="F25" s="12">
        <v>18.0</v>
      </c>
      <c r="G25" s="13" t="s">
        <v>76</v>
      </c>
      <c r="I25" s="12">
        <v>18.0</v>
      </c>
      <c r="J25" s="13" t="s">
        <v>77</v>
      </c>
    </row>
    <row r="26">
      <c r="A26" s="12">
        <v>19.0</v>
      </c>
      <c r="B26" s="13" t="s">
        <v>78</v>
      </c>
      <c r="C26" s="14"/>
      <c r="D26" s="14"/>
      <c r="F26" s="12">
        <v>19.0</v>
      </c>
      <c r="G26" s="13" t="s">
        <v>79</v>
      </c>
      <c r="I26" s="12">
        <v>19.0</v>
      </c>
      <c r="J26" s="13" t="s">
        <v>80</v>
      </c>
    </row>
    <row r="27">
      <c r="A27" s="12">
        <v>20.0</v>
      </c>
      <c r="B27" s="13" t="s">
        <v>81</v>
      </c>
      <c r="C27" s="14"/>
      <c r="D27" s="14"/>
      <c r="F27" s="12">
        <v>20.0</v>
      </c>
      <c r="G27" s="13" t="s">
        <v>82</v>
      </c>
      <c r="I27" s="12">
        <v>20.0</v>
      </c>
      <c r="J27" s="13" t="s">
        <v>83</v>
      </c>
    </row>
    <row r="28">
      <c r="A28" s="12">
        <v>21.0</v>
      </c>
      <c r="B28" s="13" t="s">
        <v>84</v>
      </c>
      <c r="C28" s="14"/>
      <c r="D28" s="14"/>
      <c r="F28" s="12">
        <v>21.0</v>
      </c>
      <c r="G28" s="13" t="s">
        <v>85</v>
      </c>
    </row>
    <row r="29">
      <c r="A29" s="12">
        <v>22.0</v>
      </c>
      <c r="B29" s="13" t="s">
        <v>86</v>
      </c>
      <c r="C29" s="14"/>
      <c r="D29" s="14"/>
      <c r="F29" s="12">
        <v>22.0</v>
      </c>
      <c r="G29" s="13" t="s">
        <v>87</v>
      </c>
    </row>
    <row r="30">
      <c r="A30" s="12">
        <v>23.0</v>
      </c>
      <c r="B30" s="13" t="s">
        <v>88</v>
      </c>
      <c r="C30" s="14"/>
      <c r="D30" s="14"/>
      <c r="F30" s="12">
        <v>23.0</v>
      </c>
      <c r="G30" s="13" t="s">
        <v>89</v>
      </c>
    </row>
    <row r="31">
      <c r="A31" s="12">
        <v>24.0</v>
      </c>
      <c r="B31" s="13" t="s">
        <v>90</v>
      </c>
      <c r="C31" s="14"/>
      <c r="D31" s="14"/>
      <c r="F31" s="12">
        <v>24.0</v>
      </c>
      <c r="G31" s="13" t="s">
        <v>91</v>
      </c>
    </row>
    <row r="32">
      <c r="A32" s="12">
        <v>25.0</v>
      </c>
      <c r="B32" s="13" t="s">
        <v>92</v>
      </c>
      <c r="C32" s="14"/>
      <c r="D32" s="14"/>
      <c r="F32" s="12">
        <v>25.0</v>
      </c>
      <c r="G32" s="13" t="s">
        <v>93</v>
      </c>
    </row>
    <row r="33">
      <c r="A33" s="12">
        <v>26.0</v>
      </c>
      <c r="B33" s="13" t="s">
        <v>94</v>
      </c>
      <c r="C33" s="14"/>
      <c r="D33" s="14"/>
      <c r="F33" s="12">
        <v>26.0</v>
      </c>
      <c r="G33" s="13" t="s">
        <v>95</v>
      </c>
    </row>
    <row r="34">
      <c r="A34" s="12">
        <v>27.0</v>
      </c>
      <c r="B34" s="13" t="s">
        <v>96</v>
      </c>
      <c r="C34" s="14"/>
      <c r="D34" s="14"/>
      <c r="F34" s="12">
        <v>27.0</v>
      </c>
      <c r="G34" s="13" t="s">
        <v>97</v>
      </c>
    </row>
    <row r="35">
      <c r="A35" s="12">
        <v>28.0</v>
      </c>
      <c r="B35" s="13" t="s">
        <v>98</v>
      </c>
      <c r="C35" s="14"/>
      <c r="D35" s="14"/>
      <c r="F35" s="12">
        <v>28.0</v>
      </c>
      <c r="G35" s="13" t="s">
        <v>99</v>
      </c>
    </row>
    <row r="36">
      <c r="A36" s="12">
        <v>29.0</v>
      </c>
      <c r="B36" s="13" t="s">
        <v>100</v>
      </c>
      <c r="C36" s="14"/>
      <c r="D36" s="14"/>
      <c r="F36" s="12">
        <v>29.0</v>
      </c>
      <c r="G36" s="13" t="s">
        <v>101</v>
      </c>
    </row>
    <row r="37">
      <c r="A37" s="12">
        <v>30.0</v>
      </c>
      <c r="B37" s="13" t="s">
        <v>102</v>
      </c>
      <c r="C37" s="14"/>
      <c r="D37" s="14"/>
      <c r="F37" s="12">
        <v>30.0</v>
      </c>
      <c r="G37" s="13" t="s">
        <v>103</v>
      </c>
    </row>
    <row r="38">
      <c r="A38" s="12">
        <v>31.0</v>
      </c>
      <c r="B38" s="13" t="s">
        <v>104</v>
      </c>
      <c r="C38" s="14"/>
      <c r="D38" s="14"/>
      <c r="F38" s="12">
        <v>31.0</v>
      </c>
      <c r="G38" s="13" t="s">
        <v>105</v>
      </c>
    </row>
    <row r="39">
      <c r="A39" s="12">
        <v>32.0</v>
      </c>
      <c r="B39" s="13" t="s">
        <v>106</v>
      </c>
      <c r="C39" s="14"/>
      <c r="D39" s="14"/>
      <c r="F39" s="12">
        <v>32.0</v>
      </c>
      <c r="G39" s="13" t="s">
        <v>107</v>
      </c>
    </row>
    <row r="40">
      <c r="A40" s="12">
        <v>33.0</v>
      </c>
      <c r="B40" s="13" t="s">
        <v>108</v>
      </c>
      <c r="C40" s="14"/>
      <c r="D40" s="14"/>
      <c r="F40" s="12">
        <v>33.0</v>
      </c>
      <c r="G40" s="13" t="s">
        <v>109</v>
      </c>
    </row>
    <row r="41">
      <c r="A41" s="12">
        <v>34.0</v>
      </c>
      <c r="B41" s="13" t="s">
        <v>110</v>
      </c>
      <c r="C41" s="14"/>
      <c r="D41" s="14"/>
      <c r="F41" s="12">
        <v>34.0</v>
      </c>
      <c r="G41" s="13" t="s">
        <v>111</v>
      </c>
    </row>
    <row r="42">
      <c r="A42" s="12">
        <v>35.0</v>
      </c>
      <c r="B42" s="13" t="s">
        <v>112</v>
      </c>
      <c r="C42" s="14"/>
      <c r="D42" s="14"/>
      <c r="F42" s="12">
        <v>35.0</v>
      </c>
      <c r="G42" s="13" t="s">
        <v>113</v>
      </c>
    </row>
    <row r="43">
      <c r="A43" s="12">
        <v>36.0</v>
      </c>
      <c r="B43" s="13" t="s">
        <v>114</v>
      </c>
      <c r="C43" s="14"/>
      <c r="D43" s="14"/>
      <c r="F43" s="12">
        <v>36.0</v>
      </c>
      <c r="G43" s="13" t="s">
        <v>115</v>
      </c>
    </row>
    <row r="44">
      <c r="A44" s="12">
        <v>37.0</v>
      </c>
      <c r="B44" s="13" t="s">
        <v>116</v>
      </c>
      <c r="C44" s="14"/>
      <c r="D44" s="14"/>
      <c r="F44" s="12">
        <v>37.0</v>
      </c>
      <c r="G44" s="13" t="s">
        <v>117</v>
      </c>
    </row>
    <row r="45">
      <c r="A45" s="12">
        <v>38.0</v>
      </c>
      <c r="B45" s="13" t="s">
        <v>118</v>
      </c>
      <c r="C45" s="14"/>
      <c r="D45" s="14"/>
      <c r="F45" s="12">
        <v>38.0</v>
      </c>
      <c r="G45" s="13" t="s">
        <v>119</v>
      </c>
    </row>
    <row r="46">
      <c r="A46" s="12">
        <v>39.0</v>
      </c>
      <c r="B46" s="13" t="s">
        <v>120</v>
      </c>
      <c r="C46" s="14"/>
      <c r="D46" s="14"/>
      <c r="F46" s="12">
        <v>39.0</v>
      </c>
      <c r="G46" s="13" t="s">
        <v>121</v>
      </c>
    </row>
    <row r="47">
      <c r="A47" s="12">
        <v>40.0</v>
      </c>
      <c r="B47" s="13" t="s">
        <v>122</v>
      </c>
      <c r="C47" s="14"/>
      <c r="D47" s="14"/>
      <c r="F47" s="12">
        <v>40.0</v>
      </c>
      <c r="G47" s="13" t="s">
        <v>123</v>
      </c>
    </row>
  </sheetData>
  <mergeCells count="7">
    <mergeCell ref="A2:M2"/>
    <mergeCell ref="A4:B4"/>
    <mergeCell ref="C4:M4"/>
    <mergeCell ref="A6:D6"/>
    <mergeCell ref="F6:G6"/>
    <mergeCell ref="I6:J6"/>
    <mergeCell ref="L6:M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9.25"/>
    <col customWidth="1" min="9" max="9" width="4.88"/>
    <col customWidth="1" min="10" max="10" width="25.75"/>
    <col customWidth="1" min="11" max="11" width="6.0"/>
    <col customWidth="1" min="12" max="12" width="5.88"/>
    <col customWidth="1" min="14" max="14" width="11.88"/>
    <col customWidth="1" min="15" max="15" width="10.38"/>
  </cols>
  <sheetData>
    <row r="1">
      <c r="A1" s="15" t="s">
        <v>124</v>
      </c>
      <c r="B1" s="11" t="s">
        <v>6</v>
      </c>
      <c r="C1" s="16" t="str">
        <f>Instrukce!M8</f>
        <v>Teze pro první kolo</v>
      </c>
      <c r="D1" s="7"/>
      <c r="E1" s="7"/>
      <c r="F1" s="7"/>
      <c r="G1" s="7"/>
      <c r="H1" s="5"/>
      <c r="L1" s="8" t="s">
        <v>125</v>
      </c>
      <c r="M1" s="7"/>
      <c r="N1" s="7"/>
      <c r="O1" s="5"/>
    </row>
    <row r="2">
      <c r="A2" s="17" t="s">
        <v>126</v>
      </c>
      <c r="B2" s="17" t="s">
        <v>127</v>
      </c>
      <c r="C2" s="17" t="s">
        <v>128</v>
      </c>
      <c r="D2" s="17" t="s">
        <v>129</v>
      </c>
      <c r="E2" s="17" t="s">
        <v>4</v>
      </c>
      <c r="F2" s="17" t="s">
        <v>130</v>
      </c>
      <c r="G2" s="17" t="s">
        <v>131</v>
      </c>
      <c r="H2" s="17" t="s">
        <v>132</v>
      </c>
      <c r="J2" s="18" t="s">
        <v>133</v>
      </c>
      <c r="K2" s="3"/>
      <c r="L2" s="17" t="s">
        <v>134</v>
      </c>
      <c r="M2" s="17" t="s">
        <v>135</v>
      </c>
      <c r="N2" s="17" t="s">
        <v>136</v>
      </c>
      <c r="O2" s="17" t="s">
        <v>137</v>
      </c>
    </row>
    <row r="3">
      <c r="A3" s="12">
        <v>1.0</v>
      </c>
      <c r="B3" s="10" t="str">
        <f>Instrukce!$J$8</f>
        <v>Místnost 1</v>
      </c>
      <c r="C3" s="10" t="str">
        <f>Instrukce!B8</f>
        <v>Tým 1</v>
      </c>
      <c r="D3" s="10" t="str">
        <f>Instrukce!B9</f>
        <v>Tým 2</v>
      </c>
      <c r="E3" s="10" t="str">
        <f>Instrukce!G8</f>
        <v>Rozhodčí 1</v>
      </c>
      <c r="F3" s="13"/>
      <c r="G3" s="13"/>
      <c r="H3" s="10" t="str">
        <f t="shared" ref="H3:H4" si="1">IF(OR(ISBLANK(F3),ISBLANK(G3)),"Vyplňte body obou týmů.",IF(F3&gt;G3,C3,IF(G3&gt;F3,D3,"Chyba! K remíze nemůže dojít")))</f>
        <v>Vyplňte body obou týmů.</v>
      </c>
      <c r="K3" s="3"/>
      <c r="L3" s="17">
        <v>1.0</v>
      </c>
      <c r="M3" s="10" t="str">
        <f>Instrukce!B8</f>
        <v>Tým 1</v>
      </c>
      <c r="N3" s="10">
        <f t="shared" ref="N3:N6" si="2">COUNTIF($H$3:$H$14,M3)</f>
        <v>0</v>
      </c>
      <c r="O3" s="10">
        <f>$F$3+$G$9+$G$14</f>
        <v>0</v>
      </c>
    </row>
    <row r="4">
      <c r="A4" s="12">
        <v>2.0</v>
      </c>
      <c r="B4" s="10" t="str">
        <f>Instrukce!$J$9</f>
        <v>Místnost 2</v>
      </c>
      <c r="C4" s="10" t="str">
        <f>Instrukce!B10</f>
        <v>Tým 3</v>
      </c>
      <c r="D4" s="10" t="str">
        <f>Instrukce!B11</f>
        <v>Tým 4</v>
      </c>
      <c r="E4" s="10" t="str">
        <f>Instrukce!G9</f>
        <v>Rozhodčí 2</v>
      </c>
      <c r="F4" s="13"/>
      <c r="G4" s="13"/>
      <c r="H4" s="10" t="str">
        <f t="shared" si="1"/>
        <v>Vyplňte body obou týmů.</v>
      </c>
      <c r="K4" s="3"/>
      <c r="L4" s="17">
        <v>2.0</v>
      </c>
      <c r="M4" s="10" t="str">
        <f>Instrukce!B9</f>
        <v>Tým 2</v>
      </c>
      <c r="N4" s="10">
        <f t="shared" si="2"/>
        <v>0</v>
      </c>
      <c r="O4" s="10">
        <f>$G$3+$F$8+$G$13</f>
        <v>0</v>
      </c>
    </row>
    <row r="5">
      <c r="K5" s="3"/>
      <c r="L5" s="17">
        <v>3.0</v>
      </c>
      <c r="M5" s="10" t="str">
        <f>Instrukce!B10</f>
        <v>Tým 3</v>
      </c>
      <c r="N5" s="10">
        <f t="shared" si="2"/>
        <v>0</v>
      </c>
      <c r="O5" s="10">
        <f>$F$4+$G$8+$F$14</f>
        <v>0</v>
      </c>
    </row>
    <row r="6">
      <c r="A6" s="15" t="s">
        <v>138</v>
      </c>
      <c r="B6" s="11" t="s">
        <v>6</v>
      </c>
      <c r="C6" s="16" t="str">
        <f>Instrukce!M9</f>
        <v>Teze pro druhé kolo</v>
      </c>
      <c r="D6" s="7"/>
      <c r="E6" s="7"/>
      <c r="F6" s="7"/>
      <c r="G6" s="7"/>
      <c r="H6" s="5"/>
      <c r="K6" s="3"/>
      <c r="L6" s="17">
        <v>4.0</v>
      </c>
      <c r="M6" s="10" t="str">
        <f>Instrukce!B11</f>
        <v>Tým 4</v>
      </c>
      <c r="N6" s="10">
        <f t="shared" si="2"/>
        <v>0</v>
      </c>
      <c r="O6" s="10">
        <f>$G$4+$F$9+$F$13</f>
        <v>0</v>
      </c>
    </row>
    <row r="7">
      <c r="A7" s="17" t="s">
        <v>126</v>
      </c>
      <c r="B7" s="17" t="s">
        <v>127</v>
      </c>
      <c r="C7" s="17" t="s">
        <v>128</v>
      </c>
      <c r="D7" s="17" t="s">
        <v>129</v>
      </c>
      <c r="E7" s="17" t="s">
        <v>4</v>
      </c>
      <c r="F7" s="17" t="s">
        <v>130</v>
      </c>
      <c r="G7" s="17" t="s">
        <v>131</v>
      </c>
      <c r="H7" s="17" t="s">
        <v>132</v>
      </c>
    </row>
    <row r="8">
      <c r="A8" s="12">
        <v>1.0</v>
      </c>
      <c r="B8" s="10" t="str">
        <f>Instrukce!$J$8</f>
        <v>Místnost 1</v>
      </c>
      <c r="C8" s="10" t="str">
        <f>Instrukce!B9</f>
        <v>Tým 2</v>
      </c>
      <c r="D8" s="10" t="str">
        <f>Instrukce!B10</f>
        <v>Tým 3</v>
      </c>
      <c r="E8" s="10" t="str">
        <f>Instrukce!G9</f>
        <v>Rozhodčí 2</v>
      </c>
      <c r="F8" s="13"/>
      <c r="G8" s="13"/>
      <c r="H8" s="10" t="str">
        <f t="shared" ref="H8:H9" si="3">IF(OR(ISBLANK(F8),ISBLANK(G8)),"Vyplňte body obou týmů.",IF(F8&gt;G8,C8,IF(G8&gt;F8,D8,"Chyba! K remíze nemůže dojít")))</f>
        <v>Vyplňte body obou týmů.</v>
      </c>
    </row>
    <row r="9">
      <c r="A9" s="12">
        <v>2.0</v>
      </c>
      <c r="B9" s="10" t="str">
        <f>Instrukce!$J$9</f>
        <v>Místnost 2</v>
      </c>
      <c r="C9" s="10" t="str">
        <f>Instrukce!B11</f>
        <v>Tým 4</v>
      </c>
      <c r="D9" s="10" t="str">
        <f>Instrukce!B8</f>
        <v>Tým 1</v>
      </c>
      <c r="E9" s="10" t="str">
        <f>Instrukce!G8</f>
        <v>Rozhodčí 1</v>
      </c>
      <c r="F9" s="13"/>
      <c r="G9" s="13"/>
      <c r="H9" s="10" t="str">
        <f t="shared" si="3"/>
        <v>Vyplňte body obou týmů.</v>
      </c>
    </row>
    <row r="11">
      <c r="A11" s="15" t="s">
        <v>139</v>
      </c>
      <c r="B11" s="11" t="s">
        <v>6</v>
      </c>
      <c r="C11" s="16" t="str">
        <f>Instrukce!M10</f>
        <v>Teze pro třetí kolo</v>
      </c>
      <c r="D11" s="7"/>
      <c r="E11" s="7"/>
      <c r="F11" s="7"/>
      <c r="G11" s="7"/>
      <c r="H11" s="5"/>
    </row>
    <row r="12">
      <c r="A12" s="17" t="s">
        <v>126</v>
      </c>
      <c r="B12" s="17" t="s">
        <v>127</v>
      </c>
      <c r="C12" s="17" t="s">
        <v>128</v>
      </c>
      <c r="D12" s="17" t="s">
        <v>129</v>
      </c>
      <c r="E12" s="17" t="s">
        <v>4</v>
      </c>
      <c r="F12" s="17" t="s">
        <v>130</v>
      </c>
      <c r="G12" s="17" t="s">
        <v>131</v>
      </c>
      <c r="H12" s="17" t="s">
        <v>132</v>
      </c>
    </row>
    <row r="13">
      <c r="A13" s="12">
        <v>1.0</v>
      </c>
      <c r="B13" s="10" t="str">
        <f>Instrukce!$J$8</f>
        <v>Místnost 1</v>
      </c>
      <c r="C13" s="10" t="str">
        <f>Instrukce!B11</f>
        <v>Tým 4</v>
      </c>
      <c r="D13" s="10" t="str">
        <f>Instrukce!B9</f>
        <v>Tým 2</v>
      </c>
      <c r="E13" s="10" t="str">
        <f>Instrukce!G8</f>
        <v>Rozhodčí 1</v>
      </c>
      <c r="F13" s="13"/>
      <c r="G13" s="13"/>
      <c r="H13" s="10" t="str">
        <f t="shared" ref="H13:H14" si="4">IF(OR(ISBLANK(F13),ISBLANK(G13)),"Vyplňte body obou týmů.",IF(F13&gt;G13,C13,IF(G13&gt;F13,D13,"Chyba! K remíze nemůže dojít")))</f>
        <v>Vyplňte body obou týmů.</v>
      </c>
    </row>
    <row r="14">
      <c r="A14" s="12">
        <v>2.0</v>
      </c>
      <c r="B14" s="10" t="str">
        <f>Instrukce!$J$9</f>
        <v>Místnost 2</v>
      </c>
      <c r="C14" s="10" t="str">
        <f>Instrukce!B10</f>
        <v>Tým 3</v>
      </c>
      <c r="D14" s="10" t="str">
        <f>Instrukce!B8</f>
        <v>Tým 1</v>
      </c>
      <c r="E14" s="10" t="str">
        <f>Instrukce!G9</f>
        <v>Rozhodčí 2</v>
      </c>
      <c r="F14" s="13"/>
      <c r="G14" s="13"/>
      <c r="H14" s="10" t="str">
        <f t="shared" si="4"/>
        <v>Vyplňte body obou týmů.</v>
      </c>
    </row>
    <row r="16">
      <c r="A16" s="15" t="s">
        <v>43</v>
      </c>
      <c r="B16" s="11" t="s">
        <v>6</v>
      </c>
      <c r="C16" s="16" t="str">
        <f>Instrukce!M14</f>
        <v>Teze pro finále</v>
      </c>
      <c r="D16" s="7"/>
      <c r="E16" s="7"/>
      <c r="F16" s="7"/>
      <c r="G16" s="7"/>
      <c r="H16" s="5"/>
    </row>
    <row r="17">
      <c r="A17" s="17" t="s">
        <v>126</v>
      </c>
      <c r="B17" s="17" t="s">
        <v>127</v>
      </c>
      <c r="C17" s="17" t="s">
        <v>128</v>
      </c>
      <c r="D17" s="17" t="s">
        <v>129</v>
      </c>
      <c r="E17" s="17" t="s">
        <v>4</v>
      </c>
      <c r="F17" s="17" t="s">
        <v>130</v>
      </c>
      <c r="G17" s="17" t="s">
        <v>131</v>
      </c>
      <c r="H17" s="17" t="s">
        <v>132</v>
      </c>
    </row>
    <row r="18">
      <c r="A18" s="12">
        <v>1.0</v>
      </c>
      <c r="B18" s="10" t="str">
        <f>Instrukce!$J$8</f>
        <v>Místnost 1</v>
      </c>
      <c r="C18" s="19" t="str">
        <f>M3</f>
        <v>Tým 1</v>
      </c>
      <c r="D18" s="19" t="str">
        <f>M4</f>
        <v>Tým 2</v>
      </c>
      <c r="E18" s="10" t="str">
        <f>Instrukce!G8</f>
        <v>Rozhodčí 1</v>
      </c>
      <c r="F18" s="13"/>
      <c r="G18" s="13"/>
      <c r="H18" s="10" t="str">
        <f>IF(OR(ISBLANK(F18),ISBLANK(G18)),"Vyplňte body obou týmů.",IF(F18&gt;G18,C18,IF(G18&gt;F18,D18,"Chyba! K remíze nemůže dojít")))</f>
        <v>Vyplňte body obou týmů.</v>
      </c>
    </row>
  </sheetData>
  <mergeCells count="6">
    <mergeCell ref="C1:H1"/>
    <mergeCell ref="L1:O1"/>
    <mergeCell ref="J2:J9"/>
    <mergeCell ref="C6:H6"/>
    <mergeCell ref="C11:H11"/>
    <mergeCell ref="C16:H1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9.25"/>
    <col customWidth="1" min="9" max="9" width="4.88"/>
    <col customWidth="1" min="10" max="10" width="25.75"/>
    <col customWidth="1" min="11" max="11" width="6.0"/>
    <col customWidth="1" min="12" max="12" width="5.88"/>
    <col customWidth="1" min="14" max="14" width="11.88"/>
    <col customWidth="1" min="15" max="15" width="10.38"/>
  </cols>
  <sheetData>
    <row r="1">
      <c r="A1" s="15" t="s">
        <v>124</v>
      </c>
      <c r="B1" s="11" t="s">
        <v>6</v>
      </c>
      <c r="C1" s="16" t="str">
        <f>Instrukce!M8</f>
        <v>Teze pro první kolo</v>
      </c>
      <c r="D1" s="7"/>
      <c r="E1" s="7"/>
      <c r="F1" s="7"/>
      <c r="G1" s="7"/>
      <c r="H1" s="5"/>
      <c r="L1" s="8" t="s">
        <v>125</v>
      </c>
      <c r="M1" s="7"/>
      <c r="N1" s="7"/>
      <c r="O1" s="5"/>
    </row>
    <row r="2">
      <c r="A2" s="17" t="s">
        <v>126</v>
      </c>
      <c r="B2" s="17" t="s">
        <v>127</v>
      </c>
      <c r="C2" s="17" t="s">
        <v>128</v>
      </c>
      <c r="D2" s="17" t="s">
        <v>129</v>
      </c>
      <c r="E2" s="17" t="s">
        <v>4</v>
      </c>
      <c r="F2" s="17" t="s">
        <v>130</v>
      </c>
      <c r="G2" s="17" t="s">
        <v>131</v>
      </c>
      <c r="H2" s="17" t="s">
        <v>132</v>
      </c>
      <c r="J2" s="18" t="s">
        <v>140</v>
      </c>
      <c r="K2" s="3"/>
      <c r="L2" s="17" t="s">
        <v>134</v>
      </c>
      <c r="M2" s="17" t="s">
        <v>135</v>
      </c>
      <c r="N2" s="17" t="s">
        <v>136</v>
      </c>
      <c r="O2" s="17" t="s">
        <v>137</v>
      </c>
    </row>
    <row r="3">
      <c r="A3" s="12">
        <v>1.0</v>
      </c>
      <c r="B3" s="10" t="str">
        <f>Instrukce!$J$8</f>
        <v>Místnost 1</v>
      </c>
      <c r="C3" s="10" t="str">
        <f>Instrukce!B8</f>
        <v>Tým 1</v>
      </c>
      <c r="D3" s="10" t="str">
        <f>Instrukce!B9</f>
        <v>Tým 2</v>
      </c>
      <c r="E3" s="10" t="str">
        <f>Instrukce!G8</f>
        <v>Rozhodčí 1</v>
      </c>
      <c r="F3" s="13"/>
      <c r="G3" s="13"/>
      <c r="H3" s="10" t="str">
        <f t="shared" ref="H3:H5" si="1">IF(OR(ISBLANK(F3),ISBLANK(G3)),"Vyplňte body obou týmů.",IF(F3&gt;G3,C3,IF(G3&gt;F3,D3,"Chyba! K remíze nemůže dojít")))</f>
        <v>Vyplňte body obou týmů.</v>
      </c>
      <c r="K3" s="3"/>
      <c r="L3" s="17">
        <v>1.0</v>
      </c>
      <c r="M3" s="10" t="str">
        <f>Instrukce!B8</f>
        <v>Tým 1</v>
      </c>
      <c r="N3" s="10">
        <f t="shared" ref="N3:N8" si="2">COUNTIF($H$3:$H$17,M3)</f>
        <v>0</v>
      </c>
      <c r="O3" s="10">
        <f>$F$3+$G$11+$G$16</f>
        <v>0</v>
      </c>
    </row>
    <row r="4">
      <c r="A4" s="12">
        <v>2.0</v>
      </c>
      <c r="B4" s="10" t="str">
        <f>Instrukce!$J$9</f>
        <v>Místnost 2</v>
      </c>
      <c r="C4" s="10" t="str">
        <f>Instrukce!B10</f>
        <v>Tým 3</v>
      </c>
      <c r="D4" s="10" t="str">
        <f>Instrukce!B11</f>
        <v>Tým 4</v>
      </c>
      <c r="E4" s="10" t="str">
        <f>Instrukce!G9</f>
        <v>Rozhodčí 2</v>
      </c>
      <c r="F4" s="13"/>
      <c r="G4" s="13"/>
      <c r="H4" s="10" t="str">
        <f t="shared" si="1"/>
        <v>Vyplňte body obou týmů.</v>
      </c>
      <c r="K4" s="3"/>
      <c r="L4" s="17">
        <v>2.0</v>
      </c>
      <c r="M4" s="10" t="str">
        <f>Instrukce!B9</f>
        <v>Tým 2</v>
      </c>
      <c r="N4" s="10">
        <f t="shared" si="2"/>
        <v>0</v>
      </c>
      <c r="O4" s="10">
        <f>$G$3+$F$9+$G$15</f>
        <v>0</v>
      </c>
    </row>
    <row r="5">
      <c r="A5" s="12">
        <v>3.0</v>
      </c>
      <c r="B5" s="10" t="str">
        <f>Instrukce!$J$10</f>
        <v>Místnost 3</v>
      </c>
      <c r="C5" s="10" t="str">
        <f>Instrukce!B12</f>
        <v>Tým 5</v>
      </c>
      <c r="D5" s="10" t="str">
        <f>Instrukce!B13</f>
        <v>Tým 6</v>
      </c>
      <c r="E5" s="10" t="str">
        <f>Instrukce!G10</f>
        <v>Rozhodčí 3</v>
      </c>
      <c r="F5" s="13"/>
      <c r="G5" s="13"/>
      <c r="H5" s="10" t="str">
        <f t="shared" si="1"/>
        <v>Vyplňte body obou týmů.</v>
      </c>
      <c r="K5" s="3"/>
      <c r="L5" s="17">
        <v>3.0</v>
      </c>
      <c r="M5" s="10" t="str">
        <f>Instrukce!B10</f>
        <v>Tým 3</v>
      </c>
      <c r="N5" s="10">
        <f t="shared" si="2"/>
        <v>0</v>
      </c>
      <c r="O5" s="10">
        <f>$F$4+$G$9+$F$16</f>
        <v>0</v>
      </c>
    </row>
    <row r="6">
      <c r="K6" s="3"/>
      <c r="L6" s="17">
        <v>4.0</v>
      </c>
      <c r="M6" s="10" t="str">
        <f>Instrukce!B11</f>
        <v>Tým 4</v>
      </c>
      <c r="N6" s="10">
        <f t="shared" si="2"/>
        <v>0</v>
      </c>
      <c r="O6" s="10">
        <f>$G$4+$F$10+$G$17</f>
        <v>0</v>
      </c>
    </row>
    <row r="7">
      <c r="A7" s="15" t="s">
        <v>138</v>
      </c>
      <c r="B7" s="11" t="s">
        <v>6</v>
      </c>
      <c r="C7" s="16" t="str">
        <f>Instrukce!M9</f>
        <v>Teze pro druhé kolo</v>
      </c>
      <c r="D7" s="7"/>
      <c r="E7" s="7"/>
      <c r="F7" s="7"/>
      <c r="G7" s="7"/>
      <c r="H7" s="5"/>
      <c r="K7" s="3"/>
      <c r="L7" s="17">
        <v>5.0</v>
      </c>
      <c r="M7" s="10" t="str">
        <f>Instrukce!B12</f>
        <v>Tým 5</v>
      </c>
      <c r="N7" s="10">
        <f t="shared" si="2"/>
        <v>0</v>
      </c>
      <c r="O7" s="10">
        <f>$F$5+$G$10+$F$15</f>
        <v>0</v>
      </c>
    </row>
    <row r="8">
      <c r="A8" s="17" t="s">
        <v>126</v>
      </c>
      <c r="B8" s="17" t="s">
        <v>127</v>
      </c>
      <c r="C8" s="17" t="s">
        <v>128</v>
      </c>
      <c r="D8" s="17" t="s">
        <v>129</v>
      </c>
      <c r="E8" s="17" t="s">
        <v>4</v>
      </c>
      <c r="F8" s="17" t="s">
        <v>130</v>
      </c>
      <c r="G8" s="17" t="s">
        <v>131</v>
      </c>
      <c r="H8" s="17" t="s">
        <v>132</v>
      </c>
      <c r="L8" s="17">
        <v>6.0</v>
      </c>
      <c r="M8" s="10" t="str">
        <f>Instrukce!B13</f>
        <v>Tým 6</v>
      </c>
      <c r="N8" s="10">
        <f t="shared" si="2"/>
        <v>0</v>
      </c>
      <c r="O8" s="10">
        <f>$G$5+$F$11+$F$17</f>
        <v>0</v>
      </c>
    </row>
    <row r="9">
      <c r="A9" s="12">
        <v>1.0</v>
      </c>
      <c r="B9" s="10" t="str">
        <f>Instrukce!$J$8</f>
        <v>Místnost 1</v>
      </c>
      <c r="C9" s="10" t="str">
        <f>Instrukce!B9</f>
        <v>Tým 2</v>
      </c>
      <c r="D9" s="10" t="str">
        <f>Instrukce!B10</f>
        <v>Tým 3</v>
      </c>
      <c r="E9" s="10" t="str">
        <f>Instrukce!G10</f>
        <v>Rozhodčí 3</v>
      </c>
      <c r="F9" s="13"/>
      <c r="G9" s="13"/>
      <c r="H9" s="10" t="str">
        <f t="shared" ref="H9:H11" si="3">IF(OR(ISBLANK(F9),ISBLANK(G9)),"Vyplňte body obou týmů.",IF(F9&gt;G9,C9,IF(G9&gt;F9,D9,"Chyba! K remíze nemůže dojít")))</f>
        <v>Vyplňte body obou týmů.</v>
      </c>
    </row>
    <row r="10">
      <c r="A10" s="12">
        <v>2.0</v>
      </c>
      <c r="B10" s="10" t="str">
        <f>Instrukce!$J$9</f>
        <v>Místnost 2</v>
      </c>
      <c r="C10" s="10" t="str">
        <f>Instrukce!B11</f>
        <v>Tým 4</v>
      </c>
      <c r="D10" s="10" t="str">
        <f>Instrukce!B12</f>
        <v>Tým 5</v>
      </c>
      <c r="E10" s="10" t="str">
        <f>Instrukce!G8</f>
        <v>Rozhodčí 1</v>
      </c>
      <c r="F10" s="13"/>
      <c r="G10" s="13"/>
      <c r="H10" s="10" t="str">
        <f t="shared" si="3"/>
        <v>Vyplňte body obou týmů.</v>
      </c>
    </row>
    <row r="11">
      <c r="A11" s="12">
        <v>3.0</v>
      </c>
      <c r="B11" s="10" t="str">
        <f>Instrukce!$J$10</f>
        <v>Místnost 3</v>
      </c>
      <c r="C11" s="10" t="str">
        <f>Instrukce!B13</f>
        <v>Tým 6</v>
      </c>
      <c r="D11" s="10" t="str">
        <f>Instrukce!B8</f>
        <v>Tým 1</v>
      </c>
      <c r="E11" s="10" t="str">
        <f>Instrukce!G9</f>
        <v>Rozhodčí 2</v>
      </c>
      <c r="F11" s="13"/>
      <c r="G11" s="13"/>
      <c r="H11" s="10" t="str">
        <f t="shared" si="3"/>
        <v>Vyplňte body obou týmů.</v>
      </c>
      <c r="J11" s="18"/>
    </row>
    <row r="13">
      <c r="A13" s="15" t="s">
        <v>139</v>
      </c>
      <c r="B13" s="11" t="s">
        <v>6</v>
      </c>
      <c r="C13" s="16" t="str">
        <f>Instrukce!M10</f>
        <v>Teze pro třetí kolo</v>
      </c>
      <c r="D13" s="7"/>
      <c r="E13" s="7"/>
      <c r="F13" s="7"/>
      <c r="G13" s="7"/>
      <c r="H13" s="5"/>
    </row>
    <row r="14">
      <c r="A14" s="17" t="s">
        <v>126</v>
      </c>
      <c r="B14" s="17" t="s">
        <v>127</v>
      </c>
      <c r="C14" s="17" t="s">
        <v>128</v>
      </c>
      <c r="D14" s="17" t="s">
        <v>129</v>
      </c>
      <c r="E14" s="17" t="s">
        <v>4</v>
      </c>
      <c r="F14" s="17" t="s">
        <v>130</v>
      </c>
      <c r="G14" s="17" t="s">
        <v>131</v>
      </c>
      <c r="H14" s="17" t="s">
        <v>132</v>
      </c>
    </row>
    <row r="15">
      <c r="A15" s="12">
        <v>1.0</v>
      </c>
      <c r="B15" s="10" t="str">
        <f>Instrukce!$J$8</f>
        <v>Místnost 1</v>
      </c>
      <c r="C15" s="10" t="str">
        <f>Instrukce!B12</f>
        <v>Tým 5</v>
      </c>
      <c r="D15" s="10" t="str">
        <f>Instrukce!B9</f>
        <v>Tým 2</v>
      </c>
      <c r="E15" s="10" t="str">
        <f>Instrukce!G9</f>
        <v>Rozhodčí 2</v>
      </c>
      <c r="F15" s="13"/>
      <c r="G15" s="13"/>
      <c r="H15" s="10" t="str">
        <f t="shared" ref="H15:H17" si="4">IF(OR(ISBLANK(F15),ISBLANK(G15)),"Vyplňte body obou týmů.",IF(F15&gt;G15,C15,IF(G15&gt;F15,D15,"Chyba! K remíze nemůže dojít")))</f>
        <v>Vyplňte body obou týmů.</v>
      </c>
    </row>
    <row r="16">
      <c r="A16" s="12">
        <v>2.0</v>
      </c>
      <c r="B16" s="10" t="str">
        <f>Instrukce!$J$9</f>
        <v>Místnost 2</v>
      </c>
      <c r="C16" s="10" t="str">
        <f>Instrukce!B10</f>
        <v>Tým 3</v>
      </c>
      <c r="D16" s="10" t="str">
        <f>Instrukce!B8</f>
        <v>Tým 1</v>
      </c>
      <c r="E16" s="10" t="str">
        <f>Instrukce!G10</f>
        <v>Rozhodčí 3</v>
      </c>
      <c r="F16" s="13"/>
      <c r="G16" s="13"/>
      <c r="H16" s="10" t="str">
        <f t="shared" si="4"/>
        <v>Vyplňte body obou týmů.</v>
      </c>
    </row>
    <row r="17">
      <c r="A17" s="12">
        <v>3.0</v>
      </c>
      <c r="B17" s="10" t="str">
        <f>Instrukce!$J$10</f>
        <v>Místnost 3</v>
      </c>
      <c r="C17" s="10" t="str">
        <f>Instrukce!B13</f>
        <v>Tým 6</v>
      </c>
      <c r="D17" s="10" t="str">
        <f>Instrukce!B11</f>
        <v>Tým 4</v>
      </c>
      <c r="E17" s="10" t="str">
        <f>Instrukce!G8</f>
        <v>Rozhodčí 1</v>
      </c>
      <c r="F17" s="13"/>
      <c r="G17" s="13"/>
      <c r="H17" s="10" t="str">
        <f t="shared" si="4"/>
        <v>Vyplňte body obou týmů.</v>
      </c>
    </row>
    <row r="19">
      <c r="A19" s="15" t="s">
        <v>43</v>
      </c>
      <c r="B19" s="11" t="s">
        <v>6</v>
      </c>
      <c r="C19" s="16" t="str">
        <f>Instrukce!M14</f>
        <v>Teze pro finále</v>
      </c>
      <c r="D19" s="7"/>
      <c r="E19" s="7"/>
      <c r="F19" s="7"/>
      <c r="G19" s="7"/>
      <c r="H19" s="5"/>
    </row>
    <row r="20">
      <c r="A20" s="17" t="s">
        <v>126</v>
      </c>
      <c r="B20" s="17" t="s">
        <v>127</v>
      </c>
      <c r="C20" s="17" t="s">
        <v>128</v>
      </c>
      <c r="D20" s="17" t="s">
        <v>129</v>
      </c>
      <c r="E20" s="17" t="s">
        <v>4</v>
      </c>
      <c r="F20" s="17" t="s">
        <v>130</v>
      </c>
      <c r="G20" s="17" t="s">
        <v>131</v>
      </c>
      <c r="H20" s="17" t="s">
        <v>132</v>
      </c>
    </row>
    <row r="21">
      <c r="A21" s="12">
        <v>1.0</v>
      </c>
      <c r="B21" s="10" t="str">
        <f>Instrukce!$J$8</f>
        <v>Místnost 1</v>
      </c>
      <c r="C21" s="19"/>
      <c r="D21" s="19"/>
      <c r="E21" s="10" t="str">
        <f>Instrukce!G8</f>
        <v>Rozhodčí 1</v>
      </c>
      <c r="F21" s="13"/>
      <c r="G21" s="13"/>
      <c r="H21" s="10" t="str">
        <f>IF(OR(ISBLANK(F21),ISBLANK(G21)),"Vyplňte body obou týmů.",IF(F21&gt;G21,C21,IF(G21&gt;F21,D21,"Chyba! K remíze nemůže dojít")))</f>
        <v>Vyplňte body obou týmů.</v>
      </c>
    </row>
  </sheetData>
  <mergeCells count="6">
    <mergeCell ref="C1:H1"/>
    <mergeCell ref="L1:O1"/>
    <mergeCell ref="J2:J10"/>
    <mergeCell ref="C7:H7"/>
    <mergeCell ref="C13:H13"/>
    <mergeCell ref="C19:H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9.25"/>
    <col customWidth="1" min="9" max="9" width="4.88"/>
    <col customWidth="1" min="10" max="10" width="25.75"/>
    <col customWidth="1" min="11" max="11" width="6.0"/>
    <col customWidth="1" min="12" max="12" width="5.88"/>
    <col customWidth="1" min="14" max="14" width="11.88"/>
    <col customWidth="1" min="15" max="15" width="10.38"/>
  </cols>
  <sheetData>
    <row r="1">
      <c r="A1" s="15" t="s">
        <v>124</v>
      </c>
      <c r="B1" s="11" t="s">
        <v>6</v>
      </c>
      <c r="C1" s="16" t="str">
        <f>Instrukce!M8</f>
        <v>Teze pro první kolo</v>
      </c>
      <c r="D1" s="7"/>
      <c r="E1" s="7"/>
      <c r="F1" s="7"/>
      <c r="G1" s="7"/>
      <c r="H1" s="5"/>
      <c r="L1" s="8" t="s">
        <v>125</v>
      </c>
      <c r="M1" s="7"/>
      <c r="N1" s="7"/>
      <c r="O1" s="5"/>
    </row>
    <row r="2">
      <c r="A2" s="17" t="s">
        <v>126</v>
      </c>
      <c r="B2" s="17" t="s">
        <v>127</v>
      </c>
      <c r="C2" s="17" t="s">
        <v>128</v>
      </c>
      <c r="D2" s="17" t="s">
        <v>129</v>
      </c>
      <c r="E2" s="17" t="s">
        <v>4</v>
      </c>
      <c r="F2" s="17" t="s">
        <v>130</v>
      </c>
      <c r="G2" s="17" t="s">
        <v>131</v>
      </c>
      <c r="H2" s="17" t="s">
        <v>132</v>
      </c>
      <c r="J2" s="18" t="s">
        <v>141</v>
      </c>
      <c r="K2" s="3"/>
      <c r="L2" s="17" t="s">
        <v>134</v>
      </c>
      <c r="M2" s="17" t="s">
        <v>135</v>
      </c>
      <c r="N2" s="17" t="s">
        <v>136</v>
      </c>
      <c r="O2" s="17" t="s">
        <v>137</v>
      </c>
    </row>
    <row r="3">
      <c r="A3" s="12">
        <v>1.0</v>
      </c>
      <c r="B3" s="10" t="str">
        <f>Instrukce!J8</f>
        <v>Místnost 1</v>
      </c>
      <c r="C3" s="10" t="str">
        <f>Instrukce!B8</f>
        <v>Tým 1</v>
      </c>
      <c r="D3" s="10" t="str">
        <f>Instrukce!B9</f>
        <v>Tým 2</v>
      </c>
      <c r="E3" s="10" t="str">
        <f>Instrukce!G8</f>
        <v>Rozhodčí 1</v>
      </c>
      <c r="F3" s="13"/>
      <c r="G3" s="13"/>
      <c r="H3" s="10" t="str">
        <f t="shared" ref="H3:H6" si="1">IF(OR(ISBLANK(F3),ISBLANK(G3)),"Vyplňte body obou týmů.",IF(F3&gt;G3,C3,IF(G3&gt;F3,D3,"Chyba! K remíze nemůže dojít")))</f>
        <v>Vyplňte body obou týmů.</v>
      </c>
      <c r="K3" s="3"/>
      <c r="L3" s="17">
        <v>1.0</v>
      </c>
      <c r="M3" s="10" t="str">
        <f>Instrukce!B8</f>
        <v>Tým 1</v>
      </c>
      <c r="N3" s="10">
        <f t="shared" ref="N3:N10" si="2">COUNTIF($H$3:$H$20,M3)</f>
        <v>0</v>
      </c>
      <c r="O3" s="10">
        <f>$F$3+$G$11+$G$18</f>
        <v>0</v>
      </c>
    </row>
    <row r="4">
      <c r="A4" s="12">
        <v>2.0</v>
      </c>
      <c r="B4" s="10" t="str">
        <f>Instrukce!J9</f>
        <v>Místnost 2</v>
      </c>
      <c r="C4" s="10" t="str">
        <f>Instrukce!B10</f>
        <v>Tým 3</v>
      </c>
      <c r="D4" s="10" t="str">
        <f>Instrukce!B11</f>
        <v>Tým 4</v>
      </c>
      <c r="E4" s="10" t="str">
        <f>Instrukce!G9</f>
        <v>Rozhodčí 2</v>
      </c>
      <c r="F4" s="13"/>
      <c r="G4" s="13"/>
      <c r="H4" s="10" t="str">
        <f t="shared" si="1"/>
        <v>Vyplňte body obou týmů.</v>
      </c>
      <c r="K4" s="3"/>
      <c r="L4" s="17">
        <v>2.0</v>
      </c>
      <c r="M4" s="10" t="str">
        <f>Instrukce!B9</f>
        <v>Tým 2</v>
      </c>
      <c r="N4" s="10">
        <f t="shared" si="2"/>
        <v>0</v>
      </c>
      <c r="O4" s="10">
        <f>$G$3+$F$10+$G$17</f>
        <v>0</v>
      </c>
    </row>
    <row r="5">
      <c r="A5" s="12">
        <v>3.0</v>
      </c>
      <c r="B5" s="10" t="str">
        <f>Instrukce!J10</f>
        <v>Místnost 3</v>
      </c>
      <c r="C5" s="10" t="str">
        <f>Instrukce!B12</f>
        <v>Tým 5</v>
      </c>
      <c r="D5" s="10" t="str">
        <f>Instrukce!B13</f>
        <v>Tým 6</v>
      </c>
      <c r="E5" s="10" t="str">
        <f>Instrukce!G10</f>
        <v>Rozhodčí 3</v>
      </c>
      <c r="F5" s="13"/>
      <c r="G5" s="13"/>
      <c r="H5" s="10" t="str">
        <f t="shared" si="1"/>
        <v>Vyplňte body obou týmů.</v>
      </c>
      <c r="K5" s="3"/>
      <c r="L5" s="17">
        <v>3.0</v>
      </c>
      <c r="M5" s="10" t="str">
        <f>Instrukce!B10</f>
        <v>Tým 3</v>
      </c>
      <c r="N5" s="10">
        <f t="shared" si="2"/>
        <v>0</v>
      </c>
      <c r="O5" s="10">
        <f>$F$4+$G$10+$F$18</f>
        <v>0</v>
      </c>
    </row>
    <row r="6">
      <c r="A6" s="12">
        <v>4.0</v>
      </c>
      <c r="B6" s="10" t="str">
        <f>Instrukce!J11</f>
        <v>Místnost 4</v>
      </c>
      <c r="C6" s="10" t="str">
        <f>Instrukce!B14</f>
        <v>Tým 7</v>
      </c>
      <c r="D6" s="10" t="str">
        <f>Instrukce!B15</f>
        <v>Tým 8</v>
      </c>
      <c r="E6" s="10" t="str">
        <f>Instrukce!G11</f>
        <v>Rozhodčí 4</v>
      </c>
      <c r="F6" s="13"/>
      <c r="G6" s="13"/>
      <c r="H6" s="10" t="str">
        <f t="shared" si="1"/>
        <v>Vyplňte body obou týmů.</v>
      </c>
      <c r="K6" s="3"/>
      <c r="L6" s="17">
        <v>4.0</v>
      </c>
      <c r="M6" s="10" t="str">
        <f>Instrukce!B11</f>
        <v>Tým 4</v>
      </c>
      <c r="N6" s="10">
        <f t="shared" si="2"/>
        <v>0</v>
      </c>
      <c r="O6" s="10">
        <f>$G$4+$F$11+$F$17</f>
        <v>0</v>
      </c>
    </row>
    <row r="7">
      <c r="K7" s="3"/>
      <c r="L7" s="17">
        <v>1.0</v>
      </c>
      <c r="M7" s="10" t="str">
        <f>Instrukce!B12</f>
        <v>Tým 5</v>
      </c>
      <c r="N7" s="10">
        <f t="shared" si="2"/>
        <v>0</v>
      </c>
      <c r="O7" s="10">
        <f>$F$5+$G$13+$G$20</f>
        <v>0</v>
      </c>
    </row>
    <row r="8">
      <c r="A8" s="15" t="s">
        <v>138</v>
      </c>
      <c r="B8" s="11" t="s">
        <v>6</v>
      </c>
      <c r="C8" s="16" t="str">
        <f>Instrukce!M9</f>
        <v>Teze pro druhé kolo</v>
      </c>
      <c r="D8" s="7"/>
      <c r="E8" s="7"/>
      <c r="F8" s="7"/>
      <c r="G8" s="7"/>
      <c r="H8" s="5"/>
      <c r="K8" s="3"/>
      <c r="L8" s="17">
        <v>2.0</v>
      </c>
      <c r="M8" s="10" t="str">
        <f>Instrukce!B13</f>
        <v>Tým 6</v>
      </c>
      <c r="N8" s="10">
        <f t="shared" si="2"/>
        <v>0</v>
      </c>
      <c r="O8" s="10">
        <f>$G$5+$F$12+$G$19</f>
        <v>0</v>
      </c>
    </row>
    <row r="9">
      <c r="A9" s="17" t="s">
        <v>126</v>
      </c>
      <c r="B9" s="17" t="s">
        <v>127</v>
      </c>
      <c r="C9" s="17" t="s">
        <v>128</v>
      </c>
      <c r="D9" s="17" t="s">
        <v>129</v>
      </c>
      <c r="E9" s="17" t="s">
        <v>4</v>
      </c>
      <c r="F9" s="17" t="s">
        <v>130</v>
      </c>
      <c r="G9" s="17" t="s">
        <v>131</v>
      </c>
      <c r="H9" s="17" t="s">
        <v>132</v>
      </c>
      <c r="L9" s="17">
        <v>3.0</v>
      </c>
      <c r="M9" s="10" t="str">
        <f>Instrukce!B14</f>
        <v>Tým 7</v>
      </c>
      <c r="N9" s="10">
        <f t="shared" si="2"/>
        <v>0</v>
      </c>
      <c r="O9" s="10">
        <f>$F$6+$G$12+$F$20</f>
        <v>0</v>
      </c>
    </row>
    <row r="10">
      <c r="A10" s="12">
        <v>1.0</v>
      </c>
      <c r="B10" s="10" t="str">
        <f>Instrukce!J8</f>
        <v>Místnost 1</v>
      </c>
      <c r="C10" s="10" t="str">
        <f>Instrukce!B9</f>
        <v>Tým 2</v>
      </c>
      <c r="D10" s="10" t="str">
        <f>Instrukce!B10</f>
        <v>Tým 3</v>
      </c>
      <c r="E10" s="10" t="str">
        <f>Instrukce!G10</f>
        <v>Rozhodčí 3</v>
      </c>
      <c r="F10" s="13"/>
      <c r="G10" s="13"/>
      <c r="H10" s="10" t="str">
        <f t="shared" ref="H10:H13" si="3">IF(OR(ISBLANK(F10),ISBLANK(G10)),"Vyplňte body obou týmů.",IF(F10&gt;G10,C10,IF(G10&gt;F10,D10,"Chyba! K remíze nemůže dojít")))</f>
        <v>Vyplňte body obou týmů.</v>
      </c>
      <c r="L10" s="17">
        <v>4.0</v>
      </c>
      <c r="M10" s="10" t="str">
        <f>Instrukce!B15</f>
        <v>Tým 8</v>
      </c>
      <c r="N10" s="10">
        <f t="shared" si="2"/>
        <v>0</v>
      </c>
      <c r="O10" s="10">
        <f>$G$6+$F$13+$F$19</f>
        <v>0</v>
      </c>
    </row>
    <row r="11">
      <c r="A11" s="12">
        <v>2.0</v>
      </c>
      <c r="B11" s="10" t="str">
        <f>Instrukce!J9</f>
        <v>Místnost 2</v>
      </c>
      <c r="C11" s="10" t="str">
        <f>Instrukce!B11</f>
        <v>Tým 4</v>
      </c>
      <c r="D11" s="10" t="str">
        <f>Instrukce!B8</f>
        <v>Tým 1</v>
      </c>
      <c r="E11" s="10" t="str">
        <f>Instrukce!G11</f>
        <v>Rozhodčí 4</v>
      </c>
      <c r="F11" s="13"/>
      <c r="G11" s="13"/>
      <c r="H11" s="10" t="str">
        <f t="shared" si="3"/>
        <v>Vyplňte body obou týmů.</v>
      </c>
    </row>
    <row r="12">
      <c r="A12" s="12">
        <v>3.0</v>
      </c>
      <c r="B12" s="10" t="str">
        <f>Instrukce!J10</f>
        <v>Místnost 3</v>
      </c>
      <c r="C12" s="10" t="str">
        <f>Instrukce!B13</f>
        <v>Tým 6</v>
      </c>
      <c r="D12" s="10" t="str">
        <f>Instrukce!B14</f>
        <v>Tým 7</v>
      </c>
      <c r="E12" s="10" t="str">
        <f>Instrukce!G8</f>
        <v>Rozhodčí 1</v>
      </c>
      <c r="F12" s="13"/>
      <c r="G12" s="13"/>
      <c r="H12" s="10" t="str">
        <f t="shared" si="3"/>
        <v>Vyplňte body obou týmů.</v>
      </c>
      <c r="J12" s="18"/>
    </row>
    <row r="13">
      <c r="A13" s="12">
        <v>4.0</v>
      </c>
      <c r="B13" s="10" t="str">
        <f>Instrukce!J11</f>
        <v>Místnost 4</v>
      </c>
      <c r="C13" s="10" t="str">
        <f>Instrukce!B15</f>
        <v>Tým 8</v>
      </c>
      <c r="D13" s="10" t="str">
        <f>Instrukce!B12</f>
        <v>Tým 5</v>
      </c>
      <c r="E13" s="10" t="str">
        <f>Instrukce!G9</f>
        <v>Rozhodčí 2</v>
      </c>
      <c r="F13" s="13"/>
      <c r="G13" s="13"/>
      <c r="H13" s="10" t="str">
        <f t="shared" si="3"/>
        <v>Vyplňte body obou týmů.</v>
      </c>
      <c r="J13" s="18"/>
    </row>
    <row r="15">
      <c r="A15" s="15" t="s">
        <v>139</v>
      </c>
      <c r="B15" s="11" t="s">
        <v>6</v>
      </c>
      <c r="C15" s="16" t="str">
        <f>Instrukce!M10</f>
        <v>Teze pro třetí kolo</v>
      </c>
      <c r="D15" s="7"/>
      <c r="E15" s="7"/>
      <c r="F15" s="7"/>
      <c r="G15" s="7"/>
      <c r="H15" s="5"/>
    </row>
    <row r="16">
      <c r="A16" s="17" t="s">
        <v>126</v>
      </c>
      <c r="B16" s="17" t="s">
        <v>127</v>
      </c>
      <c r="C16" s="17" t="s">
        <v>128</v>
      </c>
      <c r="D16" s="17" t="s">
        <v>129</v>
      </c>
      <c r="E16" s="17" t="s">
        <v>4</v>
      </c>
      <c r="F16" s="17" t="s">
        <v>130</v>
      </c>
      <c r="G16" s="17" t="s">
        <v>131</v>
      </c>
      <c r="H16" s="17" t="s">
        <v>132</v>
      </c>
    </row>
    <row r="17">
      <c r="A17" s="12">
        <v>1.0</v>
      </c>
      <c r="B17" s="10" t="str">
        <f>Instrukce!J8</f>
        <v>Místnost 1</v>
      </c>
      <c r="C17" s="10" t="str">
        <f>Instrukce!B11</f>
        <v>Tým 4</v>
      </c>
      <c r="D17" s="10" t="str">
        <f>Instrukce!B9</f>
        <v>Tým 2</v>
      </c>
      <c r="E17" s="10" t="str">
        <f>Instrukce!G8</f>
        <v>Rozhodčí 1</v>
      </c>
      <c r="F17" s="13"/>
      <c r="G17" s="13"/>
      <c r="H17" s="10" t="str">
        <f t="shared" ref="H17:H20" si="4">IF(OR(ISBLANK(F17),ISBLANK(G17)),"Vyplňte body obou týmů.",IF(F17&gt;G17,C17,IF(G17&gt;F17,D17,"Chyba! K remíze nemůže dojít")))</f>
        <v>Vyplňte body obou týmů.</v>
      </c>
    </row>
    <row r="18">
      <c r="A18" s="12">
        <v>2.0</v>
      </c>
      <c r="B18" s="10" t="str">
        <f>Instrukce!J9</f>
        <v>Místnost 2</v>
      </c>
      <c r="C18" s="10" t="str">
        <f>Instrukce!B10</f>
        <v>Tým 3</v>
      </c>
      <c r="D18" s="10" t="str">
        <f>Instrukce!B8</f>
        <v>Tým 1</v>
      </c>
      <c r="E18" s="10" t="str">
        <f>Instrukce!G9</f>
        <v>Rozhodčí 2</v>
      </c>
      <c r="F18" s="13"/>
      <c r="G18" s="13"/>
      <c r="H18" s="10" t="str">
        <f t="shared" si="4"/>
        <v>Vyplňte body obou týmů.</v>
      </c>
    </row>
    <row r="19">
      <c r="A19" s="12">
        <v>3.0</v>
      </c>
      <c r="B19" s="10" t="str">
        <f>Instrukce!J10</f>
        <v>Místnost 3</v>
      </c>
      <c r="C19" s="10" t="str">
        <f>Instrukce!B15</f>
        <v>Tým 8</v>
      </c>
      <c r="D19" s="10" t="str">
        <f>Instrukce!B13</f>
        <v>Tým 6</v>
      </c>
      <c r="E19" s="10" t="str">
        <f>Instrukce!G10</f>
        <v>Rozhodčí 3</v>
      </c>
      <c r="F19" s="13"/>
      <c r="G19" s="13"/>
      <c r="H19" s="10" t="str">
        <f t="shared" si="4"/>
        <v>Vyplňte body obou týmů.</v>
      </c>
    </row>
    <row r="20">
      <c r="A20" s="12">
        <v>4.0</v>
      </c>
      <c r="B20" s="10" t="str">
        <f>Instrukce!J11</f>
        <v>Místnost 4</v>
      </c>
      <c r="C20" s="10" t="str">
        <f>Instrukce!B14</f>
        <v>Tým 7</v>
      </c>
      <c r="D20" s="10" t="str">
        <f>Instrukce!B12</f>
        <v>Tým 5</v>
      </c>
      <c r="E20" s="10" t="str">
        <f>Instrukce!G11</f>
        <v>Rozhodčí 4</v>
      </c>
      <c r="F20" s="13"/>
      <c r="G20" s="13"/>
      <c r="H20" s="10" t="str">
        <f t="shared" si="4"/>
        <v>Vyplňte body obou týmů.</v>
      </c>
    </row>
    <row r="22">
      <c r="A22" s="15" t="s">
        <v>38</v>
      </c>
      <c r="B22" s="11" t="s">
        <v>6</v>
      </c>
      <c r="C22" s="16" t="str">
        <f>Instrukce!M13</f>
        <v>Teze pro semifinále (pokud je relevantní)</v>
      </c>
      <c r="D22" s="7"/>
      <c r="E22" s="7"/>
      <c r="F22" s="7"/>
      <c r="G22" s="7"/>
      <c r="H22" s="5"/>
    </row>
    <row r="23">
      <c r="A23" s="17" t="s">
        <v>126</v>
      </c>
      <c r="B23" s="17" t="s">
        <v>127</v>
      </c>
      <c r="C23" s="17" t="s">
        <v>128</v>
      </c>
      <c r="D23" s="17" t="s">
        <v>129</v>
      </c>
      <c r="E23" s="17" t="s">
        <v>4</v>
      </c>
      <c r="F23" s="17" t="s">
        <v>130</v>
      </c>
      <c r="G23" s="17" t="s">
        <v>131</v>
      </c>
      <c r="H23" s="17" t="s">
        <v>132</v>
      </c>
    </row>
    <row r="24">
      <c r="A24" s="12">
        <v>1.0</v>
      </c>
      <c r="B24" s="10" t="str">
        <f>Instrukce!J8</f>
        <v>Místnost 1</v>
      </c>
      <c r="C24" s="19"/>
      <c r="D24" s="19"/>
      <c r="E24" s="10" t="str">
        <f>Instrukce!G8</f>
        <v>Rozhodčí 1</v>
      </c>
      <c r="F24" s="13"/>
      <c r="G24" s="13"/>
      <c r="H24" s="10" t="str">
        <f t="shared" ref="H24:H25" si="5">IF(OR(ISBLANK(F24),ISBLANK(G24)),"Vyplňte body obou týmů.",IF(F24&gt;G24,C24,IF(G24&gt;F24,D24,"Chyba! K remíze nemůže dojít")))</f>
        <v>Vyplňte body obou týmů.</v>
      </c>
    </row>
    <row r="25">
      <c r="A25" s="12">
        <v>2.0</v>
      </c>
      <c r="B25" s="10" t="str">
        <f>Instrukce!J9</f>
        <v>Místnost 2</v>
      </c>
      <c r="C25" s="19"/>
      <c r="D25" s="19"/>
      <c r="E25" s="10" t="str">
        <f>Instrukce!G9</f>
        <v>Rozhodčí 2</v>
      </c>
      <c r="F25" s="13"/>
      <c r="G25" s="13"/>
      <c r="H25" s="10" t="str">
        <f t="shared" si="5"/>
        <v>Vyplňte body obou týmů.</v>
      </c>
    </row>
    <row r="27">
      <c r="A27" s="15" t="s">
        <v>43</v>
      </c>
      <c r="B27" s="11" t="s">
        <v>6</v>
      </c>
      <c r="C27" s="16" t="str">
        <f>Instrukce!M14</f>
        <v>Teze pro finále</v>
      </c>
      <c r="D27" s="7"/>
      <c r="E27" s="7"/>
      <c r="F27" s="7"/>
      <c r="G27" s="7"/>
      <c r="H27" s="5"/>
    </row>
    <row r="28">
      <c r="A28" s="17" t="s">
        <v>126</v>
      </c>
      <c r="B28" s="17" t="s">
        <v>127</v>
      </c>
      <c r="C28" s="17" t="s">
        <v>128</v>
      </c>
      <c r="D28" s="17" t="s">
        <v>129</v>
      </c>
      <c r="E28" s="17" t="s">
        <v>4</v>
      </c>
      <c r="F28" s="17" t="s">
        <v>130</v>
      </c>
      <c r="G28" s="17" t="s">
        <v>131</v>
      </c>
      <c r="H28" s="17" t="s">
        <v>132</v>
      </c>
    </row>
    <row r="29">
      <c r="A29" s="12">
        <v>1.0</v>
      </c>
      <c r="B29" s="10" t="str">
        <f>Instrukce!$J$8</f>
        <v>Místnost 1</v>
      </c>
      <c r="C29" s="19" t="str">
        <f>if(NOT(H24="Vyplňte body obou týmů."),H24,"")</f>
        <v/>
      </c>
      <c r="D29" s="19" t="str">
        <f>if(NOT(H25="Vyplňte body obou týmů."),H25,"")</f>
        <v/>
      </c>
      <c r="E29" s="10" t="str">
        <f>Instrukce!G8</f>
        <v>Rozhodčí 1</v>
      </c>
      <c r="F29" s="13"/>
      <c r="G29" s="13"/>
      <c r="H29" s="10" t="str">
        <f>IF(OR(ISBLANK(F29),ISBLANK(G29)),"Vyplňte body obou týmů.",IF(F29&gt;G29,C29,IF(G29&gt;F29,D29,"Chyba! K remíze nemůže dojít")))</f>
        <v>Vyplňte body obou týmů.</v>
      </c>
    </row>
  </sheetData>
  <mergeCells count="7">
    <mergeCell ref="C1:H1"/>
    <mergeCell ref="L1:O1"/>
    <mergeCell ref="J2:J11"/>
    <mergeCell ref="C8:H8"/>
    <mergeCell ref="C15:H15"/>
    <mergeCell ref="C22:H22"/>
    <mergeCell ref="C27:H27"/>
  </mergeCells>
  <drawing r:id="rId1"/>
</worksheet>
</file>